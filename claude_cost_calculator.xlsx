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i val="1"/>
      <color rgb="00666666"/>
      <sz val="10"/>
    </font>
    <font>
      <b val="1"/>
      <sz val="12"/>
    </font>
    <font>
      <sz val="11"/>
    </font>
    <font>
      <b val="1"/>
      <sz val="11"/>
    </font>
    <font>
      <b val="1"/>
      <sz val="13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8EAF6"/>
        <bgColor rgb="00E8EAF6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  <fill>
      <patternFill patternType="solid">
        <fgColor rgb="00FFF3E0"/>
        <bgColor rgb="00FFF3E0"/>
      </patternFill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applyAlignment="1" pivotButton="0" quotePrefix="0" xfId="0">
      <alignment horizontal="left"/>
    </xf>
    <xf numFmtId="164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0" fontId="6" fillId="5" borderId="1" pivotButton="0" quotePrefix="0" xfId="0"/>
    <xf numFmtId="3" fontId="6" fillId="5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3E8"/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Claude Opus 4.6 — Cost Estimation</t>
        </is>
      </c>
    </row>
    <row r="2">
      <c r="A2" s="2" t="inlineStr">
        <is>
          <t>Yellow = editable  |  Green = auto-calculated  |  Orange = totals</t>
        </is>
      </c>
    </row>
    <row r="4">
      <c r="A4" s="3" t="inlineStr">
        <is>
          <t>1. Pricing (Claude Opus 4.6)</t>
        </is>
      </c>
      <c r="B4" s="3" t="n"/>
    </row>
    <row r="5">
      <c r="A5" s="4" t="inlineStr">
        <is>
          <t>Input token price (per 1M tokens)</t>
        </is>
      </c>
      <c r="B5" s="5" t="n">
        <v>5</v>
      </c>
    </row>
    <row r="6">
      <c r="A6" s="4" t="inlineStr">
        <is>
          <t>Output token price (per 1M tokens)</t>
        </is>
      </c>
      <c r="B6" s="5" t="n">
        <v>25</v>
      </c>
    </row>
    <row r="7">
      <c r="A7" s="4" t="inlineStr">
        <is>
          <t>Working days per month</t>
        </is>
      </c>
      <c r="B7" s="6" t="n">
        <v>22</v>
      </c>
    </row>
    <row r="9">
      <c r="A9" s="3" t="inlineStr">
        <is>
          <t>2. Theme Pipeline (Monthly Batch Run — Fixed Cost)</t>
        </is>
      </c>
      <c r="B9" s="3" t="n"/>
    </row>
    <row r="10">
      <c r="A10" s="4" t="inlineStr">
        <is>
          <t>Deficiency data points per run</t>
        </is>
      </c>
      <c r="B10" s="6" t="n">
        <v>22000</v>
      </c>
    </row>
    <row r="11">
      <c r="A11" s="4" t="inlineStr">
        <is>
          <t>Avg input tokens per data point (~15-20)</t>
        </is>
      </c>
      <c r="B11" s="6" t="n">
        <v>18</v>
      </c>
    </row>
    <row r="12">
      <c r="A12" s="4" t="inlineStr">
        <is>
          <t>Avg output tokens per data point (theme ~3-4 words)</t>
        </is>
      </c>
      <c r="B12" s="6" t="n">
        <v>5</v>
      </c>
    </row>
    <row r="13">
      <c r="A13" s="4" t="inlineStr">
        <is>
          <t>Pipeline runs per month</t>
        </is>
      </c>
      <c r="B13" s="6" t="n">
        <v>1</v>
      </c>
    </row>
    <row r="14">
      <c r="A14" s="4" t="inlineStr">
        <is>
          <t>Total input tokens per run</t>
        </is>
      </c>
      <c r="B14" s="7">
        <f>$B$10*$B$11</f>
        <v/>
      </c>
    </row>
    <row r="15">
      <c r="A15" s="4" t="inlineStr">
        <is>
          <t>Total output tokens per run</t>
        </is>
      </c>
      <c r="B15" s="7">
        <f>$B$10*$B$12</f>
        <v/>
      </c>
    </row>
    <row r="16">
      <c r="A16" s="4" t="inlineStr">
        <is>
          <t>Input cost per run</t>
        </is>
      </c>
      <c r="B16" s="8">
        <f>B14/1000000*$B$5</f>
        <v/>
      </c>
    </row>
    <row r="17">
      <c r="A17" s="4" t="inlineStr">
        <is>
          <t>Output cost per run</t>
        </is>
      </c>
      <c r="B17" s="8">
        <f>B15/1000000*$B$6</f>
        <v/>
      </c>
    </row>
    <row r="18">
      <c r="A18" s="4" t="inlineStr">
        <is>
          <t>Total cost per run</t>
        </is>
      </c>
      <c r="B18" s="9">
        <f>B16+B17</f>
        <v/>
      </c>
    </row>
    <row r="19">
      <c r="A19" s="4" t="inlineStr">
        <is>
          <t>PIPELINE MONTHLY COST</t>
        </is>
      </c>
      <c r="B19" s="10">
        <f>B18*$B$13</f>
        <v/>
      </c>
    </row>
    <row r="21">
      <c r="A21" s="3" t="inlineStr">
        <is>
          <t>3. Chatbot (User Q&amp;A — Low Input, High Output)</t>
        </is>
      </c>
      <c r="B21" s="3" t="n"/>
    </row>
    <row r="22">
      <c r="A22" s="4" t="inlineStr">
        <is>
          <t>Avg input tokens per query (user question)</t>
        </is>
      </c>
      <c r="B22" s="6" t="n">
        <v>500</v>
      </c>
    </row>
    <row r="23">
      <c r="A23" s="4" t="inlineStr">
        <is>
          <t>Avg output tokens per query (chatbot response)</t>
        </is>
      </c>
      <c r="B23" s="6" t="n">
        <v>4000</v>
      </c>
    </row>
    <row r="24">
      <c r="A24" s="4" t="inlineStr">
        <is>
          <t>Cost per chatbot query</t>
        </is>
      </c>
      <c r="B24" s="11">
        <f>$B$22/1000000*$B$5+$B$23/1000000*$B$6</f>
        <v/>
      </c>
    </row>
    <row r="25">
      <c r="A25" s="4" t="inlineStr">
        <is>
          <t>Chatbot queries per user per day</t>
        </is>
      </c>
      <c r="B25" s="6" t="n">
        <v>15</v>
      </c>
    </row>
    <row r="26">
      <c r="A26" s="4" t="inlineStr">
        <is>
          <t>Daily cost per user (chatbot)</t>
        </is>
      </c>
      <c r="B26" s="9">
        <f>$B$24*$B$25</f>
        <v/>
      </c>
    </row>
    <row r="27">
      <c r="A27" s="4" t="inlineStr">
        <is>
          <t>Monthly cost per user (chatbot)</t>
        </is>
      </c>
      <c r="B27" s="9">
        <f>B26*$B$7</f>
        <v/>
      </c>
    </row>
    <row r="29">
      <c r="A29" s="3" t="inlineStr">
        <is>
          <t>4. Countermeasures, Generic Response, ICH Guidelines &amp; Learnings</t>
        </is>
      </c>
      <c r="B29" s="3" t="n"/>
    </row>
    <row r="30">
      <c r="A30" s="4" t="inlineStr">
        <is>
          <t>Avg input tokens per request (deficiency descriptions)</t>
        </is>
      </c>
      <c r="B30" s="6" t="n">
        <v>25000</v>
      </c>
    </row>
    <row r="31">
      <c r="A31" s="4" t="inlineStr">
        <is>
          <t>Avg output tokens per request (response document)</t>
        </is>
      </c>
      <c r="B31" s="6" t="n">
        <v>4000</v>
      </c>
    </row>
    <row r="32">
      <c r="A32" s="4" t="inlineStr">
        <is>
          <t>Cost per request</t>
        </is>
      </c>
      <c r="B32" s="11">
        <f>$B$30/1000000*$B$5+$B$31/1000000*$B$6</f>
        <v/>
      </c>
    </row>
    <row r="33">
      <c r="A33" s="4" t="inlineStr">
        <is>
          <t>Requests per user per day</t>
        </is>
      </c>
      <c r="B33" s="6" t="n">
        <v>5</v>
      </c>
    </row>
    <row r="34">
      <c r="A34" s="4" t="inlineStr">
        <is>
          <t>Daily cost per user (countermeasures)</t>
        </is>
      </c>
      <c r="B34" s="9">
        <f>$B$32*$B$33</f>
        <v/>
      </c>
    </row>
    <row r="35">
      <c r="A35" s="4" t="inlineStr">
        <is>
          <t>Monthly cost per user (countermeasures)</t>
        </is>
      </c>
      <c r="B35" s="9">
        <f>B34*$B$7</f>
        <v/>
      </c>
    </row>
    <row r="37">
      <c r="A37" s="3" t="inlineStr">
        <is>
          <t>5. Combined Cost Projection (Pipeline + Chatbot + Countermeasures)</t>
        </is>
      </c>
      <c r="B37" s="3" t="n"/>
      <c r="C37" s="3" t="n"/>
      <c r="D37" s="3" t="n"/>
      <c r="E37" s="3" t="n"/>
      <c r="F37" s="3" t="n"/>
    </row>
    <row r="38" ht="32" customHeight="1">
      <c r="A38" s="12" t="inlineStr">
        <is>
          <t># Users</t>
        </is>
      </c>
      <c r="B38" s="12" t="inlineStr">
        <is>
          <t>Chatbot
Monthly (all)</t>
        </is>
      </c>
      <c r="C38" s="12" t="inlineStr">
        <is>
          <t>Countermeasures
Monthly (all)</t>
        </is>
      </c>
      <c r="D38" s="12" t="inlineStr">
        <is>
          <t>Pipeline
Monthly (fixed)</t>
        </is>
      </c>
      <c r="E38" s="12" t="inlineStr">
        <is>
          <t>TOTAL
Monthly</t>
        </is>
      </c>
      <c r="F38" s="12" t="inlineStr">
        <is>
          <t>TOTAL
Yearly</t>
        </is>
      </c>
    </row>
    <row r="39">
      <c r="A39" s="13" t="n">
        <v>1</v>
      </c>
      <c r="B39" s="8">
        <f>$B$27*A39</f>
        <v/>
      </c>
      <c r="C39" s="8">
        <f>$B$35*A39</f>
        <v/>
      </c>
      <c r="D39" s="8">
        <f>$B$19</f>
        <v/>
      </c>
      <c r="E39" s="10">
        <f>B39+C39+D39</f>
        <v/>
      </c>
      <c r="F39" s="10">
        <f>E39*12</f>
        <v/>
      </c>
    </row>
    <row r="40">
      <c r="A40" s="13" t="n">
        <v>2</v>
      </c>
      <c r="B40" s="8">
        <f>$B$27*A40</f>
        <v/>
      </c>
      <c r="C40" s="8">
        <f>$B$35*A40</f>
        <v/>
      </c>
      <c r="D40" s="8">
        <f>$B$19</f>
        <v/>
      </c>
      <c r="E40" s="10">
        <f>B40+C40+D40</f>
        <v/>
      </c>
      <c r="F40" s="10">
        <f>E40*12</f>
        <v/>
      </c>
    </row>
    <row r="41">
      <c r="A41" s="13" t="n">
        <v>3</v>
      </c>
      <c r="B41" s="8">
        <f>$B$27*A41</f>
        <v/>
      </c>
      <c r="C41" s="8">
        <f>$B$35*A41</f>
        <v/>
      </c>
      <c r="D41" s="8">
        <f>$B$19</f>
        <v/>
      </c>
      <c r="E41" s="10">
        <f>B41+C41+D41</f>
        <v/>
      </c>
      <c r="F41" s="10">
        <f>E41*12</f>
        <v/>
      </c>
    </row>
    <row r="42">
      <c r="A42" s="13" t="n">
        <v>5</v>
      </c>
      <c r="B42" s="8">
        <f>$B$27*A42</f>
        <v/>
      </c>
      <c r="C42" s="8">
        <f>$B$35*A42</f>
        <v/>
      </c>
      <c r="D42" s="8">
        <f>$B$19</f>
        <v/>
      </c>
      <c r="E42" s="10">
        <f>B42+C42+D42</f>
        <v/>
      </c>
      <c r="F42" s="10">
        <f>E42*12</f>
        <v/>
      </c>
    </row>
    <row r="43">
      <c r="A43" s="13" t="n">
        <v>10</v>
      </c>
      <c r="B43" s="8">
        <f>$B$27*A43</f>
        <v/>
      </c>
      <c r="C43" s="8">
        <f>$B$35*A43</f>
        <v/>
      </c>
      <c r="D43" s="8">
        <f>$B$19</f>
        <v/>
      </c>
      <c r="E43" s="10">
        <f>B43+C43+D43</f>
        <v/>
      </c>
      <c r="F43" s="10">
        <f>E43*12</f>
        <v/>
      </c>
    </row>
    <row r="45">
      <c r="A45" s="3" t="inlineStr">
        <is>
          <t>6. Monthly Token &amp; Cost Breakdown</t>
        </is>
      </c>
      <c r="B45" s="3" t="n"/>
      <c r="C45" s="3" t="n"/>
      <c r="D45" s="3" t="n"/>
      <c r="E45" s="3" t="n"/>
      <c r="F45" s="3" t="n"/>
    </row>
    <row r="46">
      <c r="A46" s="4" t="inlineStr">
        <is>
          <t>Number of users (for this breakdown)</t>
        </is>
      </c>
      <c r="B46" s="6" t="n">
        <v>5</v>
      </c>
    </row>
    <row r="47">
      <c r="A47" s="12" t="inlineStr"/>
      <c r="B47" s="12" t="inlineStr">
        <is>
          <t>Input Tokens</t>
        </is>
      </c>
      <c r="C47" s="12" t="inlineStr">
        <is>
          <t>Output Tokens</t>
        </is>
      </c>
      <c r="D47" s="12" t="inlineStr">
        <is>
          <t>Input Cost</t>
        </is>
      </c>
      <c r="E47" s="12" t="inlineStr">
        <is>
          <t>Output Cost</t>
        </is>
      </c>
      <c r="F47" s="12" t="inlineStr">
        <is>
          <t>Total Cost</t>
        </is>
      </c>
    </row>
    <row r="48">
      <c r="A48" s="14" t="inlineStr">
        <is>
          <t>Theme Pipeline (per month)</t>
        </is>
      </c>
      <c r="B48" s="7">
        <f>B14*$B$13</f>
        <v/>
      </c>
      <c r="C48" s="7">
        <f>B15*$B$13</f>
        <v/>
      </c>
      <c r="D48" s="8">
        <f>B16*$B$13</f>
        <v/>
      </c>
      <c r="E48" s="8">
        <f>B17*$B$13</f>
        <v/>
      </c>
      <c r="F48" s="9">
        <f>$B$19</f>
        <v/>
      </c>
    </row>
    <row r="49">
      <c r="A49" s="14" t="inlineStr">
        <is>
          <t>Chatbot (all users, per month)</t>
        </is>
      </c>
      <c r="B49" s="7">
        <f>$B$22*$B$25*$B$7*$B$46</f>
        <v/>
      </c>
      <c r="C49" s="7">
        <f>$B$23*$B$25*$B$7*$B$46</f>
        <v/>
      </c>
      <c r="D49" s="8">
        <f>B49/1000000*$B$5</f>
        <v/>
      </c>
      <c r="E49" s="8">
        <f>C49/1000000*$B$6</f>
        <v/>
      </c>
      <c r="F49" s="9">
        <f>$B$27*$B$46</f>
        <v/>
      </c>
    </row>
    <row r="50">
      <c r="A50" s="14" t="inlineStr">
        <is>
          <t>Countermeasures / Responses (all users, per month)</t>
        </is>
      </c>
      <c r="B50" s="7">
        <f>$B$30*$B$33*$B$7*$B$46</f>
        <v/>
      </c>
      <c r="C50" s="7">
        <f>$B$31*$B$33*$B$7*$B$46</f>
        <v/>
      </c>
      <c r="D50" s="8">
        <f>B50/1000000*$B$5</f>
        <v/>
      </c>
      <c r="E50" s="8">
        <f>C50/1000000*$B$6</f>
        <v/>
      </c>
      <c r="F50" s="9">
        <f>$B$35*$B$46</f>
        <v/>
      </c>
    </row>
    <row r="51">
      <c r="A51" s="15" t="inlineStr">
        <is>
          <t>GRAND TOTAL (per month)</t>
        </is>
      </c>
      <c r="B51" s="16">
        <f>B48+B49+B50</f>
        <v/>
      </c>
      <c r="C51" s="16">
        <f>C48+C49+C50</f>
        <v/>
      </c>
      <c r="D51" s="10">
        <f>D48+D49+D50</f>
        <v/>
      </c>
      <c r="E51" s="10">
        <f>E48+E49+E50</f>
        <v/>
      </c>
      <c r="F51" s="10">
        <f>F48+F49+F50</f>
        <v/>
      </c>
    </row>
    <row r="52">
      <c r="A52" s="15" t="inlineStr">
        <is>
          <t>GRAND TOTAL (per year)</t>
        </is>
      </c>
      <c r="B52" s="17" t="n"/>
      <c r="C52" s="17" t="n"/>
      <c r="D52" s="17" t="n"/>
      <c r="E52" s="17" t="n"/>
      <c r="F52" s="10">
        <f>F51*12</f>
        <v/>
      </c>
    </row>
  </sheetData>
  <mergeCells count="8">
    <mergeCell ref="A4:B4"/>
    <mergeCell ref="A2:F2"/>
    <mergeCell ref="A21:B21"/>
    <mergeCell ref="A29:B29"/>
    <mergeCell ref="A1:F1"/>
    <mergeCell ref="A37:F37"/>
    <mergeCell ref="A45:F45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2026-03-16T09:15:01Z</dcterms:created>
  <dcterms:modified xsi:type="dcterms:W3CDTF">2026-03-16T09:15:01Z</dcterms:modified>
</cp:coreProperties>
</file>